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eo\Downloads\"/>
    </mc:Choice>
  </mc:AlternateContent>
  <xr:revisionPtr revIDLastSave="0" documentId="13_ncr:1_{6BE58470-4AFB-4BDF-895C-C8022FC67780}" xr6:coauthVersionLast="47" xr6:coauthVersionMax="47" xr10:uidLastSave="{00000000-0000-0000-0000-000000000000}"/>
  <bookViews>
    <workbookView xWindow="10530" yWindow="180" windowWidth="18600" windowHeight="15435" activeTab="1" xr2:uid="{60EF4F8E-BC46-4BBE-B714-6545BA10B69F}"/>
  </bookViews>
  <sheets>
    <sheet name="Group" sheetId="1" r:id="rId1"/>
    <sheet name="Segments" sheetId="2" r:id="rId2"/>
    <sheet name="SOUR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K2" i="1"/>
  <c r="K3" i="1"/>
  <c r="K4" i="1"/>
  <c r="K5" i="1"/>
  <c r="J2" i="1"/>
  <c r="J3" i="1"/>
  <c r="J4" i="1"/>
  <c r="J5" i="1"/>
  <c r="G2" i="2"/>
  <c r="G3" i="2"/>
  <c r="G4" i="2"/>
  <c r="G5" i="2"/>
  <c r="G6" i="2"/>
  <c r="G7" i="2"/>
  <c r="G8" i="2"/>
  <c r="G9" i="2"/>
  <c r="G10" i="2"/>
  <c r="G11" i="2"/>
  <c r="G12" i="2"/>
  <c r="G13" i="2"/>
  <c r="I3" i="1"/>
  <c r="I2" i="1"/>
  <c r="I4" i="1"/>
  <c r="I5" i="1"/>
  <c r="G2" i="1"/>
  <c r="G3" i="1"/>
  <c r="G4" i="1"/>
  <c r="G5" i="1"/>
  <c r="F2" i="2"/>
  <c r="F3" i="2"/>
  <c r="F4" i="2"/>
  <c r="F5" i="2"/>
  <c r="F6" i="2"/>
  <c r="F7" i="2"/>
  <c r="F8" i="2"/>
  <c r="F9" i="2"/>
  <c r="F10" i="2"/>
  <c r="F11" i="2"/>
  <c r="F12" i="2"/>
  <c r="F13" i="2"/>
  <c r="I3" i="2" l="1"/>
  <c r="H3" i="2"/>
  <c r="I8" i="2"/>
  <c r="H8" i="2"/>
  <c r="H9" i="2"/>
  <c r="I9" i="2"/>
  <c r="I10" i="2"/>
  <c r="H10" i="2"/>
  <c r="I11" i="2"/>
  <c r="H11" i="2"/>
  <c r="H12" i="2"/>
  <c r="I12" i="2"/>
  <c r="I13" i="2"/>
  <c r="H13" i="2"/>
  <c r="I2" i="2"/>
  <c r="H2" i="2"/>
  <c r="I4" i="2"/>
  <c r="H4" i="2"/>
  <c r="I5" i="2"/>
  <c r="H5" i="2"/>
  <c r="H6" i="2"/>
  <c r="I6" i="2"/>
  <c r="I7" i="2"/>
  <c r="H7" i="2"/>
</calcChain>
</file>

<file path=xl/sharedStrings.xml><?xml version="1.0" encoding="utf-8"?>
<sst xmlns="http://schemas.openxmlformats.org/spreadsheetml/2006/main" count="61" uniqueCount="27">
  <si>
    <t>Year</t>
  </si>
  <si>
    <t>Revenue_EURm</t>
  </si>
  <si>
    <t>Adjusted_EBITDA_EURm</t>
  </si>
  <si>
    <t>Operating_Profit_EURm</t>
  </si>
  <si>
    <t>Net_Profit_Parent_EURm</t>
  </si>
  <si>
    <t>SourceID</t>
  </si>
  <si>
    <t>S1</t>
  </si>
  <si>
    <t>S2</t>
  </si>
  <si>
    <t>Segment</t>
  </si>
  <si>
    <t>Recorded Music</t>
  </si>
  <si>
    <t>Music Publishing</t>
  </si>
  <si>
    <t>Merchandising and Other</t>
  </si>
  <si>
    <t>Excel_Adj_Margin</t>
  </si>
  <si>
    <t>Report</t>
  </si>
  <si>
    <t>Years Used</t>
  </si>
  <si>
    <t>URL</t>
  </si>
  <si>
    <t>UMG FY2023 results PDF</t>
  </si>
  <si>
    <t>UMG FY2025 results PDF</t>
  </si>
  <si>
    <t>UMG 2025 Annual Report</t>
  </si>
  <si>
    <t>S3</t>
  </si>
  <si>
    <t>2022-2023</t>
  </si>
  <si>
    <t>2024-2025</t>
  </si>
  <si>
    <t>FX_USD_per_EUR</t>
  </si>
  <si>
    <t>Revenue_USDm</t>
  </si>
  <si>
    <t>Adjusted_EBITDA_USDm</t>
  </si>
  <si>
    <t>Operating_Profit_USDm</t>
  </si>
  <si>
    <t>Net_Profit_Parent_USDm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</si>
</sst>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0.0%"/>
    <numFmt numFmtId="171" formatCode="_(&quot;$&quot;* #,##0.000_);_(&quot;$&quot;* \(#,##0.000\);_(&quot;$&quot;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8" fontId="2" fillId="0" borderId="0" xfId="2" applyNumberFormat="1" applyFont="1"/>
    <xf numFmtId="168" fontId="0" fillId="0" borderId="0" xfId="2" applyNumberFormat="1" applyFont="1"/>
    <xf numFmtId="0" fontId="3" fillId="0" borderId="0" xfId="3"/>
    <xf numFmtId="0" fontId="0" fillId="0" borderId="0" xfId="0" applyAlignment="1">
      <alignment vertical="center" wrapText="1"/>
    </xf>
    <xf numFmtId="44" fontId="0" fillId="0" borderId="0" xfId="1" applyFont="1"/>
    <xf numFmtId="171" fontId="0" fillId="0" borderId="0" xfId="1" applyNumberFormat="1" applyFont="1"/>
    <xf numFmtId="44" fontId="2" fillId="0" borderId="0" xfId="1" applyFont="1"/>
    <xf numFmtId="2" fontId="2" fillId="0" borderId="0" xfId="0" applyNumberFormat="1" applyFont="1"/>
    <xf numFmtId="171" fontId="2" fillId="0" borderId="0" xfId="1" applyNumberFormat="1" applyFo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7">
    <dxf>
      <numFmt numFmtId="171" formatCode="_(&quot;$&quot;* #,##0.000_);_(&quot;$&quot;* \(#,##0.0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&quot;$&quot;* #,##0.000_);_(&quot;$&quot;* \(#,##0.000\);_(&quot;$&quot;* &quot;-&quot;??_);_(@_)"/>
    </dxf>
    <dxf>
      <numFmt numFmtId="168" formatCode="0.0%"/>
    </dxf>
    <dxf>
      <numFmt numFmtId="168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C69FA-94A5-49D6-A925-0FF658E27218}" name="UMG_Group" displayName="UMG_Group" ref="A1:L5" totalsRowShown="0">
  <autoFilter ref="A1:L5" xr:uid="{68AC69FA-94A5-49D6-A925-0FF658E27218}"/>
  <tableColumns count="12">
    <tableColumn id="1" xr3:uid="{0AB532DF-956A-4D08-A9CA-CAD019C71F55}" name="Year"/>
    <tableColumn id="2" xr3:uid="{70AB091C-293E-4983-B8CC-0068A8A67CE3}" name="Revenue_EURm"/>
    <tableColumn id="3" xr3:uid="{31EF680C-5D2A-4C3F-993B-A87E10F54E77}" name="Adjusted_EBITDA_EURm"/>
    <tableColumn id="4" xr3:uid="{B011638A-9C03-4872-B853-89EE629EB44C}" name="Operating_Profit_EURm"/>
    <tableColumn id="5" xr3:uid="{2D2D858B-2188-41D6-80F0-F98724A7C177}" name="Net_Profit_Parent_EURm"/>
    <tableColumn id="6" xr3:uid="{E3EE2FE1-8717-4D42-ADD7-0AB4CCA967CB}" name="SourceID"/>
    <tableColumn id="7" xr3:uid="{8AF06DD0-17EF-47E5-8868-DDB7DD1115CC}" name="Excel_Adj_Margin" dataDxfId="6" dataCellStyle="Percent">
      <calculatedColumnFormula>C2/B2</calculatedColumnFormula>
    </tableColumn>
    <tableColumn id="8" xr3:uid="{8032DE91-942A-4FB8-9471-CD0B4A122B92}" name="FX_USD_per_EUR"/>
    <tableColumn id="9" xr3:uid="{1BE51D51-E304-4BA8-9AB8-8E375D6A3898}" name="Revenue_USDm" dataDxfId="4" dataCellStyle="Currency">
      <calculatedColumnFormula>B2*H2</calculatedColumnFormula>
    </tableColumn>
    <tableColumn id="10" xr3:uid="{244B4D82-8F2E-4965-8ABD-83C581AC8917}" name="Adjusted_EBITDA_USDm" dataDxfId="1">
      <calculatedColumnFormula>C2*H2</calculatedColumnFormula>
    </tableColumn>
    <tableColumn id="11" xr3:uid="{D622F86D-C446-4015-B6DC-76EE75EC773B}" name="Operating_Profit_USDm" dataCellStyle="Currency">
      <calculatedColumnFormula>D2*H2</calculatedColumnFormula>
    </tableColumn>
    <tableColumn id="12" xr3:uid="{6EE7637A-83A7-49D0-941E-2B0014AB1736}" name="Net_Profit_Parent_USDm" dataDxfId="0" dataCellStyle="Currency">
      <calculatedColumnFormula>E2*H2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740C02-34C2-4744-A800-63E8C5A9FEAA}" name="UMG_Segments" displayName="UMG_Segments" ref="A1:I13" totalsRowShown="0">
  <autoFilter ref="A1:I13" xr:uid="{02740C02-34C2-4744-A800-63E8C5A9FEAA}"/>
  <tableColumns count="9">
    <tableColumn id="1" xr3:uid="{8CEB1266-42D4-407B-8613-E5E6A6CBF32D}" name="Year"/>
    <tableColumn id="2" xr3:uid="{F5202084-076A-4C75-9F98-62A60BEF9288}" name="Segment"/>
    <tableColumn id="3" xr3:uid="{5F7840F7-951C-4716-B62E-1D331CADB737}" name="Revenue_EURm"/>
    <tableColumn id="4" xr3:uid="{036F22C4-0E5D-4A4B-A7B1-58A75C764CD1}" name="Adjusted_EBITDA_EURm"/>
    <tableColumn id="5" xr3:uid="{B6F638A7-97F9-45E1-A0E3-8B0636E68A73}" name="SourceID"/>
    <tableColumn id="6" xr3:uid="{7E2472CB-4CEA-44F0-9722-B45ACF301206}" name="Excel_Adj_Margin" dataDxfId="5" dataCellStyle="Percent">
      <calculatedColumnFormula>D2/C2</calculatedColumnFormula>
    </tableColumn>
    <tableColumn id="7" xr3:uid="{705D2C45-9626-46F7-9197-1CD2D1A42E02}" name="FX_USD_per_EUR" dataDxfId="3">
      <calculatedColumnFormula>_xlfn.XLOOKUP(A2,Group!$A$2:$A$5,Group!$H$2:$H$5)</calculatedColumnFormula>
    </tableColumn>
    <tableColumn id="8" xr3:uid="{3C5D6E0D-28A0-46B6-BC3E-008C67416135}" name="Revenue_USDm" dataCellStyle="Currency">
      <calculatedColumnFormula>C2*G2</calculatedColumnFormula>
    </tableColumn>
    <tableColumn id="9" xr3:uid="{89AD3848-1888-4864-B0FA-7E4A1FA20097}" name="Adjusted_EBITDA_USDm" dataDxfId="2">
      <calculatedColumnFormula>D2*G2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.ctfassets.net/e66ejtqbaazg/7HObJrt5UDQfjjfKYN454B/201bf057190c5ed4ee185b04a34ec095/UMG_2025_Annual_Report.pdf?utm_source=chatgpt.com" TargetMode="External"/><Relationship Id="rId2" Type="http://schemas.openxmlformats.org/officeDocument/2006/relationships/hyperlink" Target="https://assets.ctfassets.net/e66ejtqbaazg/29H5pgbmmYOowQgJET2Wh8/4355ccb601037ecc345ccef3a9d9bc74/UMG_Q4___FY25_results_press_release.pdf?utm_source=chatgpt.com" TargetMode="External"/><Relationship Id="rId1" Type="http://schemas.openxmlformats.org/officeDocument/2006/relationships/hyperlink" Target="https://assets.ctfassets.net/e66ejtqbaazg/1psEFHkZbqpN6GxbUUYhPL/eae1981f98c7c682e5d09a2b324e1df0/UMG_4Q___FY23_Press_Release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4BBE-6FF7-44E4-AB7E-84BFDEBCC11C}">
  <dimension ref="A1:L5"/>
  <sheetViews>
    <sheetView topLeftCell="E1" workbookViewId="0">
      <selection activeCell="B2" sqref="B2"/>
    </sheetView>
  </sheetViews>
  <sheetFormatPr defaultRowHeight="15"/>
  <cols>
    <col min="1" max="1" width="7.28515625" bestFit="1" customWidth="1"/>
    <col min="2" max="2" width="17.7109375" bestFit="1" customWidth="1"/>
    <col min="3" max="3" width="25.28515625" bestFit="1" customWidth="1"/>
    <col min="4" max="4" width="24.140625" customWidth="1"/>
    <col min="5" max="5" width="25.28515625" customWidth="1"/>
    <col min="6" max="6" width="11.42578125" customWidth="1"/>
    <col min="7" max="7" width="19.85546875" bestFit="1" customWidth="1"/>
    <col min="8" max="8" width="19.5703125" bestFit="1" customWidth="1"/>
    <col min="9" max="9" width="18" bestFit="1" customWidth="1"/>
    <col min="10" max="10" width="25.85546875" bestFit="1" customWidth="1"/>
    <col min="11" max="11" width="25.140625" bestFit="1" customWidth="1"/>
    <col min="12" max="12" width="26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12</v>
      </c>
      <c r="H1" s="1" t="s">
        <v>22</v>
      </c>
      <c r="I1" s="1" t="s">
        <v>23</v>
      </c>
      <c r="J1" s="1" t="s">
        <v>24</v>
      </c>
      <c r="K1" s="8" t="s">
        <v>25</v>
      </c>
      <c r="L1" s="1" t="s">
        <v>26</v>
      </c>
    </row>
    <row r="2" spans="1:12">
      <c r="A2">
        <v>2022</v>
      </c>
      <c r="B2">
        <v>10340</v>
      </c>
      <c r="C2">
        <v>2135</v>
      </c>
      <c r="D2">
        <v>1600</v>
      </c>
      <c r="E2">
        <v>782</v>
      </c>
      <c r="F2" t="s">
        <v>6</v>
      </c>
      <c r="G2" s="2">
        <f>C2/B2</f>
        <v>0.20647969052224371</v>
      </c>
      <c r="H2">
        <v>1.0533999999999999</v>
      </c>
      <c r="I2" s="7">
        <f t="shared" ref="I2:I5" si="0">B2*H2</f>
        <v>10892.155999999999</v>
      </c>
      <c r="J2" s="9">
        <f>C2*H2</f>
        <v>2249.0089999999996</v>
      </c>
      <c r="K2" s="8">
        <f t="shared" ref="K2:K5" si="1">D2*H2</f>
        <v>1685.4399999999998</v>
      </c>
      <c r="L2" s="10">
        <f t="shared" ref="L2:L5" si="2">E2*H2</f>
        <v>823.75879999999995</v>
      </c>
    </row>
    <row r="3" spans="1:12">
      <c r="A3">
        <v>2023</v>
      </c>
      <c r="B3">
        <v>11108</v>
      </c>
      <c r="C3">
        <v>2369</v>
      </c>
      <c r="D3">
        <v>1418</v>
      </c>
      <c r="E3">
        <v>1259</v>
      </c>
      <c r="F3" t="s">
        <v>6</v>
      </c>
      <c r="G3" s="3">
        <f t="shared" ref="G2:G5" si="3">C3/B3</f>
        <v>0.21326971552034571</v>
      </c>
      <c r="H3">
        <v>1.0817000000000001</v>
      </c>
      <c r="I3" s="7">
        <f>B3*H3</f>
        <v>12015.5236</v>
      </c>
      <c r="J3">
        <f t="shared" ref="J2:J5" si="4">C3*H3</f>
        <v>2562.5473000000002</v>
      </c>
      <c r="K3" s="6">
        <f t="shared" si="1"/>
        <v>1533.8506000000002</v>
      </c>
      <c r="L3" s="7">
        <f t="shared" si="2"/>
        <v>1361.8603000000001</v>
      </c>
    </row>
    <row r="4" spans="1:12">
      <c r="A4">
        <v>2024</v>
      </c>
      <c r="B4">
        <v>11834</v>
      </c>
      <c r="C4">
        <v>2661</v>
      </c>
      <c r="D4">
        <v>1775</v>
      </c>
      <c r="E4">
        <v>2086</v>
      </c>
      <c r="F4" t="s">
        <v>7</v>
      </c>
      <c r="G4" s="3">
        <f t="shared" si="3"/>
        <v>0.22486057123542336</v>
      </c>
      <c r="H4">
        <v>1.0820000000000001</v>
      </c>
      <c r="I4" s="7">
        <f t="shared" si="0"/>
        <v>12804.388000000001</v>
      </c>
      <c r="J4">
        <f t="shared" si="4"/>
        <v>2879.2020000000002</v>
      </c>
      <c r="K4" s="6">
        <f t="shared" si="1"/>
        <v>1920.5500000000002</v>
      </c>
      <c r="L4" s="7">
        <f t="shared" si="2"/>
        <v>2257.0520000000001</v>
      </c>
    </row>
    <row r="5" spans="1:12">
      <c r="A5">
        <v>2025</v>
      </c>
      <c r="B5">
        <v>12507</v>
      </c>
      <c r="C5">
        <v>2810</v>
      </c>
      <c r="D5">
        <v>1998</v>
      </c>
      <c r="E5">
        <v>1533</v>
      </c>
      <c r="F5" t="s">
        <v>7</v>
      </c>
      <c r="G5" s="3">
        <f t="shared" si="3"/>
        <v>0.22467418245782361</v>
      </c>
      <c r="H5" s="5">
        <v>1.1306</v>
      </c>
      <c r="I5" s="7">
        <f t="shared" si="0"/>
        <v>14140.414200000001</v>
      </c>
      <c r="J5">
        <f t="shared" si="4"/>
        <v>3176.9860000000003</v>
      </c>
      <c r="K5" s="6">
        <f t="shared" si="1"/>
        <v>2258.9387999999999</v>
      </c>
      <c r="L5" s="7">
        <f t="shared" si="2"/>
        <v>1733.2098000000001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1F94-962B-49B8-A187-B3F47A771295}">
  <dimension ref="A1:I13"/>
  <sheetViews>
    <sheetView tabSelected="1" topLeftCell="B1" workbookViewId="0">
      <selection activeCell="I2" sqref="I2"/>
    </sheetView>
  </sheetViews>
  <sheetFormatPr defaultRowHeight="15"/>
  <cols>
    <col min="2" max="2" width="23.7109375" bestFit="1" customWidth="1"/>
    <col min="3" max="3" width="17.42578125" customWidth="1"/>
    <col min="4" max="4" width="24.7109375" customWidth="1"/>
    <col min="5" max="5" width="11.42578125" customWidth="1"/>
    <col min="6" max="6" width="19.85546875" bestFit="1" customWidth="1"/>
    <col min="7" max="7" width="19.5703125" bestFit="1" customWidth="1"/>
    <col min="8" max="8" width="18" bestFit="1" customWidth="1"/>
    <col min="9" max="9" width="25.85546875" bestFit="1" customWidth="1"/>
  </cols>
  <sheetData>
    <row r="1" spans="1:9">
      <c r="A1" t="s">
        <v>0</v>
      </c>
      <c r="B1" t="s">
        <v>8</v>
      </c>
      <c r="C1" t="s">
        <v>1</v>
      </c>
      <c r="D1" t="s">
        <v>2</v>
      </c>
      <c r="E1" t="s">
        <v>5</v>
      </c>
      <c r="F1" s="1" t="s">
        <v>12</v>
      </c>
      <c r="G1" s="1" t="s">
        <v>22</v>
      </c>
      <c r="H1" s="1" t="s">
        <v>23</v>
      </c>
      <c r="I1" s="1" t="s">
        <v>24</v>
      </c>
    </row>
    <row r="2" spans="1:9">
      <c r="A2">
        <v>2022</v>
      </c>
      <c r="B2" t="s">
        <v>9</v>
      </c>
      <c r="C2">
        <v>7937</v>
      </c>
      <c r="D2">
        <v>1900</v>
      </c>
      <c r="E2" t="s">
        <v>6</v>
      </c>
      <c r="F2" s="3">
        <f t="shared" ref="F2:F13" si="0">D2/C2</f>
        <v>0.23938515812019653</v>
      </c>
      <c r="G2">
        <f>_xlfn.XLOOKUP(A2,Group!$A$2:$A$5,Group!$H$2:$H$5)</f>
        <v>1.0533999999999999</v>
      </c>
      <c r="H2" s="6">
        <f t="shared" ref="H2:H13" si="1">C2*G2</f>
        <v>8360.8357999999989</v>
      </c>
      <c r="I2">
        <f t="shared" ref="I2:I13" si="2">D2*G2</f>
        <v>2001.4599999999998</v>
      </c>
    </row>
    <row r="3" spans="1:9">
      <c r="A3">
        <v>2022</v>
      </c>
      <c r="B3" t="s">
        <v>10</v>
      </c>
      <c r="C3">
        <v>1799</v>
      </c>
      <c r="D3">
        <v>410</v>
      </c>
      <c r="E3" t="s">
        <v>6</v>
      </c>
      <c r="F3" s="3">
        <f t="shared" si="0"/>
        <v>0.22790439132851584</v>
      </c>
      <c r="G3">
        <f>_xlfn.XLOOKUP(A3,Group!$A$2:$A$5,Group!$H$2:$H$5)</f>
        <v>1.0533999999999999</v>
      </c>
      <c r="H3" s="6">
        <f t="shared" si="1"/>
        <v>1895.0665999999999</v>
      </c>
      <c r="I3">
        <f t="shared" si="2"/>
        <v>431.89399999999995</v>
      </c>
    </row>
    <row r="4" spans="1:9">
      <c r="A4">
        <v>2022</v>
      </c>
      <c r="B4" t="s">
        <v>11</v>
      </c>
      <c r="C4">
        <v>618</v>
      </c>
      <c r="D4">
        <v>36</v>
      </c>
      <c r="E4" t="s">
        <v>6</v>
      </c>
      <c r="F4" s="3">
        <f t="shared" si="0"/>
        <v>5.8252427184466021E-2</v>
      </c>
      <c r="G4">
        <f>_xlfn.XLOOKUP(A4,Group!$A$2:$A$5,Group!$H$2:$H$5)</f>
        <v>1.0533999999999999</v>
      </c>
      <c r="H4" s="6">
        <f t="shared" si="1"/>
        <v>651.00119999999993</v>
      </c>
      <c r="I4">
        <f t="shared" si="2"/>
        <v>37.922399999999996</v>
      </c>
    </row>
    <row r="5" spans="1:9">
      <c r="A5">
        <v>2023</v>
      </c>
      <c r="B5" t="s">
        <v>9</v>
      </c>
      <c r="C5">
        <v>8461</v>
      </c>
      <c r="D5">
        <v>2042</v>
      </c>
      <c r="E5" t="s">
        <v>6</v>
      </c>
      <c r="F5" s="3">
        <f t="shared" si="0"/>
        <v>0.24134263089469329</v>
      </c>
      <c r="G5">
        <f>_xlfn.XLOOKUP(A5,Group!$A$2:$A$5,Group!$H$2:$H$5)</f>
        <v>1.0817000000000001</v>
      </c>
      <c r="H5" s="6">
        <f t="shared" si="1"/>
        <v>9152.2637000000013</v>
      </c>
      <c r="I5">
        <f t="shared" si="2"/>
        <v>2208.8314</v>
      </c>
    </row>
    <row r="6" spans="1:9">
      <c r="A6">
        <v>2023</v>
      </c>
      <c r="B6" t="s">
        <v>10</v>
      </c>
      <c r="C6">
        <v>1956</v>
      </c>
      <c r="D6">
        <v>470</v>
      </c>
      <c r="E6" t="s">
        <v>6</v>
      </c>
      <c r="F6" s="3">
        <f t="shared" si="0"/>
        <v>0.24028629856850717</v>
      </c>
      <c r="G6">
        <f>_xlfn.XLOOKUP(A6,Group!$A$2:$A$5,Group!$H$2:$H$5)</f>
        <v>1.0817000000000001</v>
      </c>
      <c r="H6" s="6">
        <f t="shared" si="1"/>
        <v>2115.8052000000002</v>
      </c>
      <c r="I6">
        <f t="shared" si="2"/>
        <v>508.39900000000006</v>
      </c>
    </row>
    <row r="7" spans="1:9">
      <c r="A7">
        <v>2023</v>
      </c>
      <c r="B7" t="s">
        <v>11</v>
      </c>
      <c r="C7">
        <v>706</v>
      </c>
      <c r="D7">
        <v>47</v>
      </c>
      <c r="E7" t="s">
        <v>6</v>
      </c>
      <c r="F7" s="3">
        <f t="shared" si="0"/>
        <v>6.6572237960339939E-2</v>
      </c>
      <c r="G7">
        <f>_xlfn.XLOOKUP(A7,Group!$A$2:$A$5,Group!$H$2:$H$5)</f>
        <v>1.0817000000000001</v>
      </c>
      <c r="H7" s="6">
        <f t="shared" si="1"/>
        <v>763.68020000000013</v>
      </c>
      <c r="I7">
        <f t="shared" si="2"/>
        <v>50.839900000000007</v>
      </c>
    </row>
    <row r="8" spans="1:9">
      <c r="A8">
        <v>2024</v>
      </c>
      <c r="B8" t="s">
        <v>9</v>
      </c>
      <c r="C8">
        <v>8901</v>
      </c>
      <c r="D8">
        <v>2275</v>
      </c>
      <c r="E8" t="s">
        <v>7</v>
      </c>
      <c r="F8" s="3">
        <f t="shared" si="0"/>
        <v>0.25558925963374901</v>
      </c>
      <c r="G8">
        <f>_xlfn.XLOOKUP(A8,Group!$A$2:$A$5,Group!$H$2:$H$5)</f>
        <v>1.0820000000000001</v>
      </c>
      <c r="H8" s="6">
        <f t="shared" si="1"/>
        <v>9630.8820000000014</v>
      </c>
      <c r="I8">
        <f t="shared" si="2"/>
        <v>2461.5500000000002</v>
      </c>
    </row>
    <row r="9" spans="1:9">
      <c r="A9">
        <v>2024</v>
      </c>
      <c r="B9" t="s">
        <v>10</v>
      </c>
      <c r="C9">
        <v>2121</v>
      </c>
      <c r="D9">
        <v>511</v>
      </c>
      <c r="E9" t="s">
        <v>7</v>
      </c>
      <c r="F9" s="3">
        <f t="shared" si="0"/>
        <v>0.24092409240924093</v>
      </c>
      <c r="G9">
        <f>_xlfn.XLOOKUP(A9,Group!$A$2:$A$5,Group!$H$2:$H$5)</f>
        <v>1.0820000000000001</v>
      </c>
      <c r="H9" s="6">
        <f t="shared" si="1"/>
        <v>2294.922</v>
      </c>
      <c r="I9">
        <f t="shared" si="2"/>
        <v>552.90200000000004</v>
      </c>
    </row>
    <row r="10" spans="1:9">
      <c r="A10">
        <v>2024</v>
      </c>
      <c r="B10" t="s">
        <v>11</v>
      </c>
      <c r="C10">
        <v>842</v>
      </c>
      <c r="D10">
        <v>43</v>
      </c>
      <c r="E10" t="s">
        <v>7</v>
      </c>
      <c r="F10" s="3">
        <f t="shared" si="0"/>
        <v>5.1068883610451303E-2</v>
      </c>
      <c r="G10">
        <f>_xlfn.XLOOKUP(A10,Group!$A$2:$A$5,Group!$H$2:$H$5)</f>
        <v>1.0820000000000001</v>
      </c>
      <c r="H10" s="6">
        <f t="shared" si="1"/>
        <v>911.0440000000001</v>
      </c>
      <c r="I10">
        <f t="shared" si="2"/>
        <v>46.526000000000003</v>
      </c>
    </row>
    <row r="11" spans="1:9">
      <c r="A11">
        <v>2025</v>
      </c>
      <c r="B11" t="s">
        <v>9</v>
      </c>
      <c r="C11">
        <v>9456</v>
      </c>
      <c r="D11">
        <v>2423</v>
      </c>
      <c r="E11" t="s">
        <v>7</v>
      </c>
      <c r="F11" s="3">
        <f t="shared" si="0"/>
        <v>0.25623942470389172</v>
      </c>
      <c r="G11">
        <f>_xlfn.XLOOKUP(A11,Group!$A$2:$A$5,Group!$H$2:$H$5)</f>
        <v>1.1306</v>
      </c>
      <c r="H11" s="6">
        <f t="shared" si="1"/>
        <v>10690.953600000001</v>
      </c>
      <c r="I11">
        <f t="shared" si="2"/>
        <v>2739.4438</v>
      </c>
    </row>
    <row r="12" spans="1:9">
      <c r="A12">
        <v>2025</v>
      </c>
      <c r="B12" t="s">
        <v>10</v>
      </c>
      <c r="C12">
        <v>2260</v>
      </c>
      <c r="D12">
        <v>549</v>
      </c>
      <c r="E12" t="s">
        <v>7</v>
      </c>
      <c r="F12" s="3">
        <f t="shared" si="0"/>
        <v>0.24292035398230089</v>
      </c>
      <c r="G12">
        <f>_xlfn.XLOOKUP(A12,Group!$A$2:$A$5,Group!$H$2:$H$5)</f>
        <v>1.1306</v>
      </c>
      <c r="H12" s="6">
        <f t="shared" si="1"/>
        <v>2555.1559999999999</v>
      </c>
      <c r="I12">
        <f t="shared" si="2"/>
        <v>620.69940000000008</v>
      </c>
    </row>
    <row r="13" spans="1:9">
      <c r="A13">
        <v>2025</v>
      </c>
      <c r="B13" t="s">
        <v>11</v>
      </c>
      <c r="C13">
        <v>811</v>
      </c>
      <c r="D13">
        <v>16</v>
      </c>
      <c r="E13" t="s">
        <v>7</v>
      </c>
      <c r="F13" s="3">
        <f t="shared" si="0"/>
        <v>1.9728729963008632E-2</v>
      </c>
      <c r="G13">
        <f>_xlfn.XLOOKUP(A13,Group!$A$2:$A$5,Group!$H$2:$H$5)</f>
        <v>1.1306</v>
      </c>
      <c r="H13" s="6">
        <f t="shared" si="1"/>
        <v>916.91660000000002</v>
      </c>
      <c r="I13">
        <f t="shared" si="2"/>
        <v>18.089600000000001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AA85-1472-487E-928E-2873A1FC780D}">
  <dimension ref="A1:D4"/>
  <sheetViews>
    <sheetView workbookViewId="0">
      <selection activeCell="C4" sqref="C4"/>
    </sheetView>
  </sheetViews>
  <sheetFormatPr defaultRowHeight="15"/>
  <cols>
    <col min="2" max="2" width="22.28515625" bestFit="1" customWidth="1"/>
    <col min="3" max="3" width="10.7109375" bestFit="1" customWidth="1"/>
  </cols>
  <sheetData>
    <row r="1" spans="1:4">
      <c r="A1" t="s">
        <v>5</v>
      </c>
      <c r="B1" t="s">
        <v>13</v>
      </c>
      <c r="C1" t="s">
        <v>14</v>
      </c>
      <c r="D1" t="s">
        <v>15</v>
      </c>
    </row>
    <row r="2" spans="1:4">
      <c r="A2" t="s">
        <v>6</v>
      </c>
      <c r="B2" s="4" t="s">
        <v>16</v>
      </c>
      <c r="C2" t="s">
        <v>20</v>
      </c>
    </row>
    <row r="3" spans="1:4">
      <c r="A3" t="s">
        <v>7</v>
      </c>
      <c r="B3" s="4" t="s">
        <v>17</v>
      </c>
      <c r="C3" t="s">
        <v>21</v>
      </c>
    </row>
    <row r="4" spans="1:4">
      <c r="A4" t="s">
        <v>19</v>
      </c>
      <c r="B4" s="4" t="s">
        <v>18</v>
      </c>
    </row>
  </sheetData>
  <hyperlinks>
    <hyperlink ref="B2" r:id="rId1" display="https://assets.ctfassets.net/e66ejtqbaazg/1psEFHkZbqpN6GxbUUYhPL/eae1981f98c7c682e5d09a2b324e1df0/UMG_4Q___FY23_Press_Release.pdf?utm_source=chatgpt.com" xr:uid="{D256F304-EDB6-48F1-8623-AE55A2113ACA}"/>
    <hyperlink ref="B3" r:id="rId2" display="https://assets.ctfassets.net/e66ejtqbaazg/29H5pgbmmYOowQgJET2Wh8/4355ccb601037ecc345ccef3a9d9bc74/UMG_Q4___FY25_results_press_release.pdf?utm_source=chatgpt.com" xr:uid="{0F4E8C93-95CF-409F-8BD8-2EFFE68B94A9}"/>
    <hyperlink ref="B4" r:id="rId3" display="https://assets.ctfassets.net/e66ejtqbaazg/7HObJrt5UDQfjjfKYN454B/201bf057190c5ed4ee185b04a34ec095/UMG_2025_Annual_Report.pdf?utm_source=chatgpt.com" xr:uid="{6567C4F2-9E04-4C30-B25A-0FE7C9AAEC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</vt:lpstr>
      <vt:lpstr>Segments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ikeoko</dc:creator>
  <cp:lastModifiedBy>ikeoko</cp:lastModifiedBy>
  <dcterms:created xsi:type="dcterms:W3CDTF">2026-10-28T22:08:02Z</dcterms:created>
  <dcterms:modified xsi:type="dcterms:W3CDTF">2026-10-28T22:40:45Z</dcterms:modified>
</cp:coreProperties>
</file>